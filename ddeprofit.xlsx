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7865" windowHeight="6930" activeTab="1"/>
  </bookViews>
  <sheets>
    <sheet name="dde profit" sheetId="12" r:id="rId1"/>
    <sheet name="base_b3" sheetId="4" r:id="rId2"/>
  </sheets>
  <externalReferences>
    <externalReference r:id="rId3"/>
  </externalReferences>
  <definedNames>
    <definedName name="superficie_de_volatilidade_de_dolar" localSheetId="1">base_b3!$A$1:$L$44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2" l="1"/>
  <c r="L2" i="12"/>
  <c r="M2" i="12"/>
  <c r="N2" i="12"/>
  <c r="O2" i="12"/>
  <c r="P2" i="12"/>
  <c r="Q2" i="12"/>
  <c r="R2" i="12"/>
  <c r="S2" i="12"/>
  <c r="K3" i="12"/>
  <c r="L3" i="12"/>
  <c r="M3" i="12"/>
  <c r="N3" i="12"/>
  <c r="O3" i="12"/>
  <c r="P3" i="12"/>
  <c r="Q3" i="12"/>
  <c r="R3" i="12"/>
  <c r="S3" i="12"/>
  <c r="K4" i="12"/>
  <c r="L4" i="12"/>
  <c r="M4" i="12"/>
  <c r="N4" i="12"/>
  <c r="O4" i="12"/>
  <c r="P4" i="12"/>
  <c r="Q4" i="12"/>
  <c r="R4" i="12"/>
  <c r="S4" i="12"/>
  <c r="K5" i="12"/>
  <c r="L5" i="12"/>
  <c r="M5" i="12"/>
  <c r="N5" i="12"/>
  <c r="O5" i="12"/>
  <c r="P5" i="12"/>
  <c r="Q5" i="12"/>
  <c r="R5" i="12"/>
  <c r="S5" i="12"/>
  <c r="K6" i="12"/>
  <c r="L6" i="12"/>
  <c r="M6" i="12"/>
  <c r="N6" i="12"/>
  <c r="O6" i="12"/>
  <c r="P6" i="12"/>
  <c r="Q6" i="12"/>
  <c r="R6" i="12"/>
  <c r="S6" i="12"/>
  <c r="K7" i="12"/>
  <c r="L7" i="12"/>
  <c r="M7" i="12"/>
  <c r="N7" i="12"/>
  <c r="O7" i="12"/>
  <c r="P7" i="12"/>
  <c r="Q7" i="12"/>
  <c r="R7" i="12"/>
  <c r="S7" i="12"/>
</calcChain>
</file>

<file path=xl/connections.xml><?xml version="1.0" encoding="utf-8"?>
<connections xmlns="http://schemas.openxmlformats.org/spreadsheetml/2006/main">
  <connection id="1" name="Conexão" type="4" refreshedVersion="6" background="1" refreshOnLoad="1" saveData="1">
    <webPr sourceData="1" parsePre="1" consecutive="1" xl2000="1" url="http://www.b3.com.br/pt_br/market-data-e-indices/servicos-de-dados/market-data/consultas/mercado-de-derivativos/precos-referenciais/superficie-de-volatilidade-de-dolar"/>
  </connection>
</connections>
</file>

<file path=xl/sharedStrings.xml><?xml version="1.0" encoding="utf-8"?>
<sst xmlns="http://schemas.openxmlformats.org/spreadsheetml/2006/main" count="36" uniqueCount="35">
  <si>
    <t>Ir conteúdo Ir menu Ir rodapé</t>
  </si>
  <si>
    <t>Campo de busca</t>
  </si>
  <si>
    <t>pt_BR</t>
  </si>
  <si>
    <t>en_US</t>
  </si>
  <si>
    <t>es</t>
  </si>
  <si>
    <t xml:space="preserve">Voltar </t>
  </si>
  <si>
    <t>Superfície de volatilidade de dólar</t>
  </si>
  <si>
    <t>Home</t>
  </si>
  <si>
    <t>Market Data e Índices</t>
  </si>
  <si>
    <t>Serviços de dados</t>
  </si>
  <si>
    <t>Market Data</t>
  </si>
  <si>
    <t>Consultas</t>
  </si>
  <si>
    <t>Mercado de Derivativos</t>
  </si>
  <si>
    <t>Preços referenciais</t>
  </si>
  <si>
    <t>Asset</t>
  </si>
  <si>
    <t>Último</t>
  </si>
  <si>
    <t>Abertura</t>
  </si>
  <si>
    <t>Máximo</t>
  </si>
  <si>
    <t>Mínimo</t>
  </si>
  <si>
    <t>Fechamento Anterior</t>
  </si>
  <si>
    <t>Variação</t>
  </si>
  <si>
    <t>Negócios</t>
  </si>
  <si>
    <t>Volume</t>
  </si>
  <si>
    <t>Vencimento</t>
  </si>
  <si>
    <t>DI1FUT</t>
  </si>
  <si>
    <t>USD/BRL</t>
  </si>
  <si>
    <t>WDOFUT</t>
  </si>
  <si>
    <t>FRP0</t>
  </si>
  <si>
    <t>DOLINDEX</t>
  </si>
  <si>
    <t>GLDFUT</t>
  </si>
  <si>
    <t xml:space="preserve"> Ícone        </t>
  </si>
  <si>
    <t xml:space="preserve">         Atualizado em: 08/07/2026</t>
  </si>
  <si>
    <t>Delta %</t>
  </si>
  <si>
    <t xml:space="preserve">  * A superfície de volatilidade de dólar é construída com base nas informações coletadas por um pool de Informantes às 18h</t>
  </si>
  <si>
    <t xml:space="preserve">                                                                                                                                                                                                                               Download do 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</si>
</sst>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7" fontId="1" fillId="2" borderId="0" xfId="0" applyNumberFormat="1" applyFont="1" applyFill="1" applyAlignment="1">
      <alignment horizontal="left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4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profitchart" ddeTopic="cot">
    <ddeItems>
      <ddeItem name="DI1FUT.ABE" advise="1">
        <values>
          <value>
            <val>14.38</val>
          </value>
        </values>
      </ddeItem>
      <ddeItem name="DI1FUT.FEC" advise="1">
        <values>
          <value>
            <val>14.38</val>
          </value>
        </values>
      </ddeItem>
      <ddeItem name="DI1FUT.MAX" advise="1">
        <values>
          <value>
            <val>14.38</val>
          </value>
        </values>
      </ddeItem>
      <ddeItem name="DI1FUT.MIN" advise="1">
        <values>
          <value>
            <val>14.22</val>
          </value>
        </values>
      </ddeItem>
      <ddeItem name="DI1FUT.NEG" advise="1">
        <values>
          <value>
            <val>34163</val>
          </value>
        </values>
      </ddeItem>
      <ddeItem name="DI1FUT.ULT" advise="1">
        <values>
          <value>
            <val>14.24</val>
          </value>
        </values>
      </ddeItem>
      <ddeItem name="DI1FUT.VAR" advise="1">
        <values>
          <value>
            <val>-0.97357440890125702</val>
          </value>
        </values>
      </ddeItem>
      <ddeItem name="DI1FUT.VEN" advise="1">
        <values>
          <value t="str">
            <val>02/01/2029</val>
          </value>
        </values>
      </ddeItem>
      <ddeItem name="DI1FUT.VOL" advise="1">
        <values>
          <value>
            <val>21434486268.68</val>
          </value>
        </values>
      </ddeItem>
      <ddeItem name="DOLINDEX.ABE" advise="1">
        <values>
          <value>
            <val>101.026438</val>
          </value>
        </values>
      </ddeItem>
      <ddeItem name="DOLINDEX.FEC" advise="1">
        <values>
          <value>
            <val>101.02693600000001</val>
          </value>
        </values>
      </ddeItem>
      <ddeItem name="DOLINDEX.MAX" advise="1">
        <values>
          <value>
            <val>101.03776499999999</val>
          </value>
        </values>
      </ddeItem>
      <ddeItem name="DOLINDEX.MIN" advise="1">
        <values>
          <value>
            <val>100.787311</val>
          </value>
        </values>
      </ddeItem>
      <ddeItem name="DOLINDEX.NEG" advise="1">
        <values>
          <value>
            <val>13146</val>
          </value>
        </values>
      </ddeItem>
      <ddeItem name="DOLINDEX.ULT" advise="1">
        <values>
          <value>
            <val>100.941222</val>
          </value>
        </values>
      </ddeItem>
      <ddeItem name="DOLINDEX.VAR" advise="1">
        <values>
          <value>
            <val>-8.4842719569380165E-2</val>
          </value>
        </values>
      </ddeItem>
      <ddeItem name="DOLINDEX.VEN" advise="1">
        <values>
          <value t="str">
            <val>01/01/3000</val>
          </value>
        </values>
      </ddeItem>
      <ddeItem name="DOLINDEX.VOL" advise="1">
        <values>
          <value>
            <val>1326948.4272779999</val>
          </value>
        </values>
      </ddeItem>
      <ddeItem name="FRP0.ABE" advise="1">
        <values>
          <value>
            <val>29</val>
          </value>
        </values>
      </ddeItem>
      <ddeItem name="FRP0.FEC" advise="1">
        <values>
          <value>
            <val>29.200000000000003</val>
          </value>
        </values>
      </ddeItem>
      <ddeItem name="FRP0.MAX" advise="1">
        <values>
          <value>
            <val>29.2</val>
          </value>
        </values>
      </ddeItem>
      <ddeItem name="FRP0.MIN" advise="1">
        <values>
          <value>
            <val>28</val>
          </value>
        </values>
      </ddeItem>
      <ddeItem name="FRP0.NEG" advise="1">
        <values>
          <value>
            <val>126</val>
          </value>
        </values>
      </ddeItem>
      <ddeItem name="FRP0.ULT" advise="1">
        <values>
          <value>
            <val>29</val>
          </value>
        </values>
      </ddeItem>
      <ddeItem name="FRP0.VAR" advise="1">
        <values>
          <value>
            <val>-0.68493150684932402</val>
          </value>
        </values>
      </ddeItem>
      <ddeItem name="FRP0.VEN" advise="1">
        <values>
          <value t="str">
            <val>30/07/2026</val>
          </value>
        </values>
      </ddeItem>
      <ddeItem name="FRP0.VOL" advise="1">
        <values>
          <value>
            <val>6529479150</val>
          </value>
        </values>
      </ddeItem>
      <ddeItem name="GLDFUT.ABE" advise="1">
        <values>
          <value>
            <val>4119.75</val>
          </value>
        </values>
      </ddeItem>
      <ddeItem name="GLDFUT.FEC" advise="1">
        <values>
          <value>
            <val>4101.5</val>
          </value>
        </values>
      </ddeItem>
      <ddeItem name="GLDFUT.MAX" advise="1">
        <values>
          <value>
            <val>4164.5</val>
          </value>
        </values>
      </ddeItem>
      <ddeItem name="GLDFUT.MIN" advise="1">
        <values>
          <value>
            <val>4115.5</val>
          </value>
        </values>
      </ddeItem>
      <ddeItem name="GLDFUT.NEG" advise="1">
        <values>
          <value>
            <val>505</val>
          </value>
        </values>
      </ddeItem>
      <ddeItem name="GLDFUT.ULT" advise="1">
        <values>
          <value>
            <val>4144.75</val>
          </value>
        </values>
      </ddeItem>
      <ddeItem name="GLDFUT.VAR" advise="1">
        <values>
          <value>
            <val>1.0544922589296561</val>
          </value>
        </values>
      </ddeItem>
      <ddeItem name="GLDFUT.VEN" advise="1">
        <values>
          <value t="str">
            <val>27/08/2026</val>
          </value>
        </values>
      </ddeItem>
      <ddeItem name="GLDFUT.VOL" advise="1">
        <values>
          <value>
            <val>3043616.75</val>
          </value>
        </values>
      </ddeItem>
      <ddeItem name="StdDocumentName" ole="1" advise="1"/>
      <ddeItem name="USD/BRL.ABE" advise="1">
        <values>
          <value>
            <val>5.1646000000000001</val>
          </value>
        </values>
      </ddeItem>
      <ddeItem name="USD/BRL.FEC" advise="1">
        <values>
          <value>
            <val>5.1646000000000001</val>
          </value>
        </values>
      </ddeItem>
      <ddeItem name="USD/BRL.MAX" advise="1">
        <values>
          <value>
            <val>5.1821999999999999</val>
          </value>
        </values>
      </ddeItem>
      <ddeItem name="USD/BRL.MIN" advise="1">
        <values>
          <value>
            <val>5.1234999999999999</val>
          </value>
        </values>
      </ddeItem>
      <ddeItem name="USD/BRL.NEG" advise="1">
        <values>
          <value>
            <val>5468</val>
          </value>
        </values>
      </ddeItem>
      <ddeItem name="USD/BRL.ULT" advise="1">
        <values>
          <value>
            <val>5.1364999999999998</val>
          </value>
        </values>
      </ddeItem>
      <ddeItem name="USD/BRL.VAR" advise="1">
        <values>
          <value>
            <val>-0.54408860318321217</val>
          </value>
        </values>
      </ddeItem>
      <ddeItem name="USD/BRL.VEN" advise="1">
        <values>
          <value t="str">
            <val>01/01/3000</val>
          </value>
        </values>
      </ddeItem>
      <ddeItem name="USD/BRL.VOL" advise="1">
        <values>
          <value>
            <val>28151.106844000002</val>
          </value>
        </values>
      </ddeItem>
      <ddeItem name="WDOFUT.ABE" advise="1">
        <values>
          <value>
            <val>5179</val>
          </value>
        </values>
      </ddeItem>
      <ddeItem name="WDOFUT.FEC" advise="1">
        <values>
          <value>
            <val>5180.5</val>
          </value>
        </values>
      </ddeItem>
      <ddeItem name="WDOFUT.MAX" advise="1">
        <values>
          <value>
            <val>5185</val>
          </value>
        </values>
      </ddeItem>
      <ddeItem name="WDOFUT.MIN" advise="1">
        <values>
          <value>
            <val>5141.5</val>
          </value>
        </values>
      </ddeItem>
      <ddeItem name="WDOFUT.NEG" advise="1">
        <values>
          <value>
            <val>327910</val>
          </value>
        </values>
      </ddeItem>
      <ddeItem name="WDOFUT.ULT" advise="1">
        <values>
          <value>
            <val>5148.5</val>
          </value>
        </values>
      </ddeItem>
      <ddeItem name="WDOFUT.VAR" advise="1">
        <values>
          <value>
            <val>-0.61770099411253909</val>
          </value>
        </values>
      </ddeItem>
      <ddeItem name="WDOFUT.VEN" advise="1">
        <values>
          <value t="str">
            <val>03/08/2026</val>
          </value>
        </values>
      </ddeItem>
      <ddeItem name="WDOFUT.VOL" advise="1">
        <values>
          <value>
            <val>72146869270</val>
          </value>
        </values>
      </ddeItem>
    </ddeItems>
  </ddeLink>
</externalLink>
</file>

<file path=xl/queryTables/queryTable1.xml><?xml version="1.0" encoding="utf-8"?>
<queryTable xmlns="http://schemas.openxmlformats.org/spreadsheetml/2006/main" name="superficie-de-volatilidade-de-dolar" refreshOnLoad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S7"/>
  <sheetViews>
    <sheetView topLeftCell="J1" workbookViewId="0">
      <selection activeCell="S15" sqref="S15"/>
    </sheetView>
  </sheetViews>
  <sheetFormatPr defaultRowHeight="15" x14ac:dyDescent="0.25"/>
  <cols>
    <col min="8" max="8" width="20.140625" bestFit="1" customWidth="1"/>
    <col min="10" max="10" width="12.7109375" bestFit="1" customWidth="1"/>
    <col min="15" max="15" width="20.140625" bestFit="1" customWidth="1"/>
    <col min="18" max="18" width="19" customWidth="1"/>
  </cols>
  <sheetData>
    <row r="1" spans="10:19" x14ac:dyDescent="0.25"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0:19" x14ac:dyDescent="0.25">
      <c r="J2" t="s">
        <v>24</v>
      </c>
      <c r="K2">
        <f>[1]!DI1FUT.ULT</f>
        <v>14.24</v>
      </c>
      <c r="L2">
        <f>[1]!DI1FUT.ABE</f>
        <v>14.38</v>
      </c>
      <c r="M2">
        <f>[1]!DI1FUT.MAX</f>
        <v>14.38</v>
      </c>
      <c r="N2">
        <f>[1]!DI1FUT.MIN</f>
        <v>14.22</v>
      </c>
      <c r="O2">
        <f>[1]!DI1FUT.FEC</f>
        <v>14.38</v>
      </c>
      <c r="P2">
        <f>[1]!DI1FUT.VAR</f>
        <v>-0.97357440890125702</v>
      </c>
      <c r="Q2">
        <f>[1]!DI1FUT.NEG</f>
        <v>34163</v>
      </c>
      <c r="R2">
        <f>[1]!DI1FUT.VOL</f>
        <v>21434486268.68</v>
      </c>
      <c r="S2" t="str">
        <f>[1]!DI1FUT.VEN</f>
        <v>02/01/2029</v>
      </c>
    </row>
    <row r="3" spans="10:19" x14ac:dyDescent="0.25">
      <c r="J3" t="s">
        <v>28</v>
      </c>
      <c r="K3">
        <f>[1]!DOLINDEX.ULT</f>
        <v>100.941222</v>
      </c>
      <c r="L3">
        <f>[1]!DOLINDEX.ABE</f>
        <v>101.026438</v>
      </c>
      <c r="M3">
        <f>[1]!DOLINDEX.MAX</f>
        <v>101.03776499999999</v>
      </c>
      <c r="N3">
        <f>[1]!DOLINDEX.MIN</f>
        <v>100.787311</v>
      </c>
      <c r="O3">
        <f>[1]!DOLINDEX.FEC</f>
        <v>101.02693600000001</v>
      </c>
      <c r="P3">
        <f>[1]!DOLINDEX.VAR</f>
        <v>-8.4842719569380165E-2</v>
      </c>
      <c r="Q3">
        <f>[1]!DOLINDEX.NEG</f>
        <v>13146</v>
      </c>
      <c r="R3">
        <f>[1]!DOLINDEX.VOL</f>
        <v>1326948.4272779999</v>
      </c>
      <c r="S3" t="str">
        <f>[1]!DOLINDEX.VEN</f>
        <v>01/01/3000</v>
      </c>
    </row>
    <row r="4" spans="10:19" x14ac:dyDescent="0.25">
      <c r="J4" t="s">
        <v>27</v>
      </c>
      <c r="K4">
        <f>[1]!FRP0.ULT</f>
        <v>29</v>
      </c>
      <c r="L4">
        <f>[1]!FRP0.ABE</f>
        <v>29</v>
      </c>
      <c r="M4">
        <f>[1]!FRP0.MAX</f>
        <v>29.2</v>
      </c>
      <c r="N4">
        <f>[1]!FRP0.MIN</f>
        <v>28</v>
      </c>
      <c r="O4">
        <f>[1]!FRP0.FEC</f>
        <v>29.200000000000003</v>
      </c>
      <c r="P4">
        <f>[1]!FRP0.VAR</f>
        <v>-0.68493150684932402</v>
      </c>
      <c r="Q4">
        <f>[1]!FRP0.NEG</f>
        <v>126</v>
      </c>
      <c r="R4">
        <f>[1]!FRP0.VOL</f>
        <v>6529479150</v>
      </c>
      <c r="S4" t="str">
        <f>[1]!FRP0.VEN</f>
        <v>30/07/2026</v>
      </c>
    </row>
    <row r="5" spans="10:19" x14ac:dyDescent="0.25">
      <c r="J5" t="s">
        <v>29</v>
      </c>
      <c r="K5">
        <f>[1]!GLDFUT.ULT</f>
        <v>4144.75</v>
      </c>
      <c r="L5">
        <f>[1]!GLDFUT.ABE</f>
        <v>4119.75</v>
      </c>
      <c r="M5">
        <f>[1]!GLDFUT.MAX</f>
        <v>4164.5</v>
      </c>
      <c r="N5">
        <f>[1]!GLDFUT.MIN</f>
        <v>4115.5</v>
      </c>
      <c r="O5">
        <f>[1]!GLDFUT.FEC</f>
        <v>4101.5</v>
      </c>
      <c r="P5">
        <f>[1]!GLDFUT.VAR</f>
        <v>1.0544922589296561</v>
      </c>
      <c r="Q5">
        <f>[1]!GLDFUT.NEG</f>
        <v>505</v>
      </c>
      <c r="R5">
        <f>[1]!GLDFUT.VOL</f>
        <v>3043616.75</v>
      </c>
      <c r="S5" t="str">
        <f>[1]!GLDFUT.VEN</f>
        <v>27/08/2026</v>
      </c>
    </row>
    <row r="6" spans="10:19" x14ac:dyDescent="0.25">
      <c r="J6" t="s">
        <v>25</v>
      </c>
      <c r="K6">
        <f>[1]!'USD/BRL.ULT'</f>
        <v>5.1364999999999998</v>
      </c>
      <c r="L6">
        <f>[1]!'USD/BRL.ABE'</f>
        <v>5.1646000000000001</v>
      </c>
      <c r="M6">
        <f>[1]!'USD/BRL.MAX'</f>
        <v>5.1821999999999999</v>
      </c>
      <c r="N6">
        <f>[1]!'USD/BRL.MIN'</f>
        <v>5.1234999999999999</v>
      </c>
      <c r="O6">
        <f>[1]!'USD/BRL.FEC'</f>
        <v>5.1646000000000001</v>
      </c>
      <c r="P6">
        <f>[1]!'USD/BRL.VAR'</f>
        <v>-0.54408860318321217</v>
      </c>
      <c r="Q6">
        <f>[1]!'USD/BRL.NEG'</f>
        <v>5468</v>
      </c>
      <c r="R6">
        <f>[1]!'USD/BRL.VOL'</f>
        <v>28151.106844000002</v>
      </c>
      <c r="S6" t="str">
        <f>[1]!'USD/BRL.VEN'</f>
        <v>01/01/3000</v>
      </c>
    </row>
    <row r="7" spans="10:19" x14ac:dyDescent="0.25">
      <c r="J7" t="s">
        <v>26</v>
      </c>
      <c r="K7">
        <f>[1]!WDOFUT.ULT</f>
        <v>5148.5</v>
      </c>
      <c r="L7">
        <f>[1]!WDOFUT.ABE</f>
        <v>5179</v>
      </c>
      <c r="M7">
        <f>[1]!WDOFUT.MAX</f>
        <v>5185</v>
      </c>
      <c r="N7">
        <f>[1]!WDOFUT.MIN</f>
        <v>5141.5</v>
      </c>
      <c r="O7">
        <f>[1]!WDOFUT.FEC</f>
        <v>5180.5</v>
      </c>
      <c r="P7">
        <f>[1]!WDOFUT.VAR</f>
        <v>-0.61770099411253909</v>
      </c>
      <c r="Q7">
        <f>[1]!WDOFUT.NEG</f>
        <v>327910</v>
      </c>
      <c r="R7">
        <f>[1]!WDOFUT.VOL</f>
        <v>72146869270</v>
      </c>
      <c r="S7" t="str">
        <f>[1]!WDOFUT.VEN</f>
        <v>03/08/2026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L45"/>
  <sheetViews>
    <sheetView tabSelected="1" topLeftCell="A4" zoomScale="85" zoomScaleNormal="85" workbookViewId="0">
      <selection activeCell="G19" sqref="G19"/>
    </sheetView>
  </sheetViews>
  <sheetFormatPr defaultColWidth="10.28515625" defaultRowHeight="12" x14ac:dyDescent="0.2"/>
  <cols>
    <col min="1" max="1" width="11" style="5" customWidth="1"/>
    <col min="2" max="12" width="9.140625" style="5" customWidth="1"/>
    <col min="13" max="16384" width="10.28515625" style="5"/>
  </cols>
  <sheetData>
    <row r="1" spans="1:1" s="1" customFormat="1" ht="18" customHeight="1" x14ac:dyDescent="0.2">
      <c r="A1" s="1" t="s">
        <v>0</v>
      </c>
    </row>
    <row r="2" spans="1:1" s="1" customFormat="1" ht="18" customHeight="1" x14ac:dyDescent="0.2">
      <c r="A2" s="1" t="s">
        <v>1</v>
      </c>
    </row>
    <row r="3" spans="1:1" s="1" customFormat="1" ht="18" customHeight="1" x14ac:dyDescent="0.2">
      <c r="A3" s="1" t="s">
        <v>2</v>
      </c>
    </row>
    <row r="4" spans="1:1" s="1" customFormat="1" ht="18" customHeight="1" x14ac:dyDescent="0.2">
      <c r="A4" s="1" t="s">
        <v>3</v>
      </c>
    </row>
    <row r="5" spans="1:1" s="1" customFormat="1" ht="18" customHeight="1" x14ac:dyDescent="0.2">
      <c r="A5" s="1" t="s">
        <v>4</v>
      </c>
    </row>
    <row r="6" spans="1:1" s="1" customFormat="1" ht="18" customHeight="1" x14ac:dyDescent="0.2">
      <c r="A6" s="1" t="s">
        <v>5</v>
      </c>
    </row>
    <row r="7" spans="1:1" s="1" customFormat="1" ht="18" customHeight="1" x14ac:dyDescent="0.2">
      <c r="A7" s="1" t="s">
        <v>6</v>
      </c>
    </row>
    <row r="8" spans="1:1" s="1" customFormat="1" ht="18" customHeight="1" x14ac:dyDescent="0.2">
      <c r="A8" s="1" t="s">
        <v>7</v>
      </c>
    </row>
    <row r="9" spans="1:1" s="1" customFormat="1" ht="18" customHeight="1" x14ac:dyDescent="0.2">
      <c r="A9" s="1" t="s">
        <v>8</v>
      </c>
    </row>
    <row r="10" spans="1:1" s="1" customFormat="1" ht="18" customHeight="1" x14ac:dyDescent="0.2">
      <c r="A10" s="1" t="s">
        <v>9</v>
      </c>
    </row>
    <row r="11" spans="1:1" s="1" customFormat="1" ht="18" customHeight="1" x14ac:dyDescent="0.2">
      <c r="A11" s="1" t="s">
        <v>10</v>
      </c>
    </row>
    <row r="12" spans="1:1" s="1" customFormat="1" ht="18" customHeight="1" x14ac:dyDescent="0.2">
      <c r="A12" s="2" t="s">
        <v>11</v>
      </c>
    </row>
    <row r="13" spans="1:1" s="1" customFormat="1" ht="18" customHeight="1" x14ac:dyDescent="0.2">
      <c r="A13" s="2" t="s">
        <v>12</v>
      </c>
    </row>
    <row r="14" spans="1:1" s="1" customFormat="1" ht="18" customHeight="1" x14ac:dyDescent="0.2">
      <c r="A14" s="2" t="s">
        <v>13</v>
      </c>
    </row>
    <row r="15" spans="1:1" s="1" customFormat="1" ht="18" customHeight="1" x14ac:dyDescent="0.2">
      <c r="A15" s="2" t="s">
        <v>6</v>
      </c>
    </row>
    <row r="16" spans="1:1" s="1" customFormat="1" ht="18" customHeight="1" x14ac:dyDescent="0.2">
      <c r="A16" s="2"/>
    </row>
    <row r="17" spans="1:12" s="1" customFormat="1" ht="18" customHeight="1" x14ac:dyDescent="0.2">
      <c r="A17" s="2" t="s">
        <v>31</v>
      </c>
    </row>
    <row r="18" spans="1:12" ht="18" customHeight="1" x14ac:dyDescent="0.2">
      <c r="A18" s="3" t="s">
        <v>32</v>
      </c>
      <c r="B18" s="4">
        <v>1</v>
      </c>
      <c r="C18" s="4">
        <v>5</v>
      </c>
      <c r="D18" s="4">
        <v>10</v>
      </c>
      <c r="E18" s="4">
        <v>25</v>
      </c>
      <c r="F18" s="4">
        <v>37</v>
      </c>
      <c r="G18" s="4">
        <v>50</v>
      </c>
      <c r="H18" s="4">
        <v>63</v>
      </c>
      <c r="I18" s="4">
        <v>75</v>
      </c>
      <c r="J18" s="4">
        <v>90</v>
      </c>
      <c r="K18" s="4">
        <v>95</v>
      </c>
      <c r="L18" s="4">
        <v>99</v>
      </c>
    </row>
    <row r="19" spans="1:12" ht="18" customHeight="1" x14ac:dyDescent="0.2">
      <c r="A19" s="3">
        <v>46235</v>
      </c>
      <c r="B19" s="4">
        <v>14.5</v>
      </c>
      <c r="C19" s="4">
        <v>13.76</v>
      </c>
      <c r="D19" s="4">
        <v>12.99</v>
      </c>
      <c r="E19" s="4">
        <v>11.4</v>
      </c>
      <c r="F19" s="4">
        <v>10.75</v>
      </c>
      <c r="G19" s="4">
        <v>10.029999999999999</v>
      </c>
      <c r="H19" s="4">
        <v>9.61</v>
      </c>
      <c r="I19" s="4">
        <v>9.17</v>
      </c>
      <c r="J19" s="4">
        <v>8.8800000000000008</v>
      </c>
      <c r="K19" s="4">
        <v>9.0299999999999994</v>
      </c>
      <c r="L19" s="4">
        <v>9.27</v>
      </c>
    </row>
    <row r="20" spans="1:12" ht="18" customHeight="1" x14ac:dyDescent="0.2">
      <c r="A20" s="3">
        <v>46266</v>
      </c>
      <c r="B20" s="4">
        <v>15.35</v>
      </c>
      <c r="C20" s="4">
        <v>14.86</v>
      </c>
      <c r="D20" s="4">
        <v>14.26</v>
      </c>
      <c r="E20" s="4">
        <v>12.54</v>
      </c>
      <c r="F20" s="4">
        <v>11.79</v>
      </c>
      <c r="G20" s="4">
        <v>11</v>
      </c>
      <c r="H20" s="4">
        <v>10.51</v>
      </c>
      <c r="I20" s="4">
        <v>10.01</v>
      </c>
      <c r="J20" s="4">
        <v>9.66</v>
      </c>
      <c r="K20" s="4">
        <v>9.67</v>
      </c>
      <c r="L20" s="4">
        <v>9.68</v>
      </c>
    </row>
    <row r="21" spans="1:12" ht="18" customHeight="1" x14ac:dyDescent="0.2">
      <c r="A21" s="3">
        <v>46296</v>
      </c>
      <c r="B21" s="4">
        <v>16.29</v>
      </c>
      <c r="C21" s="4">
        <v>15.83</v>
      </c>
      <c r="D21" s="4">
        <v>15.27</v>
      </c>
      <c r="E21" s="4">
        <v>13.79</v>
      </c>
      <c r="F21" s="4">
        <v>12.63</v>
      </c>
      <c r="G21" s="4">
        <v>11.96</v>
      </c>
      <c r="H21" s="4">
        <v>11.24</v>
      </c>
      <c r="I21" s="4">
        <v>10.79</v>
      </c>
      <c r="J21" s="4">
        <v>10.53</v>
      </c>
      <c r="K21" s="4">
        <v>10.46</v>
      </c>
      <c r="L21" s="4">
        <v>10.4</v>
      </c>
    </row>
    <row r="22" spans="1:12" ht="18" customHeight="1" x14ac:dyDescent="0.2">
      <c r="A22" s="3">
        <v>46327</v>
      </c>
      <c r="B22" s="4">
        <v>18.59</v>
      </c>
      <c r="C22" s="4">
        <v>18.079999999999998</v>
      </c>
      <c r="D22" s="4">
        <v>17.48</v>
      </c>
      <c r="E22" s="4">
        <v>15.88</v>
      </c>
      <c r="F22" s="4">
        <v>14.8</v>
      </c>
      <c r="G22" s="4">
        <v>13.92</v>
      </c>
      <c r="H22" s="4">
        <v>13.13</v>
      </c>
      <c r="I22" s="4">
        <v>12.66</v>
      </c>
      <c r="J22" s="4">
        <v>12.34</v>
      </c>
      <c r="K22" s="4">
        <v>12.31</v>
      </c>
      <c r="L22" s="4">
        <v>12.29</v>
      </c>
    </row>
    <row r="23" spans="1:12" ht="18" customHeight="1" x14ac:dyDescent="0.2">
      <c r="A23" s="3">
        <v>46357</v>
      </c>
      <c r="B23" s="4">
        <v>18.809999999999999</v>
      </c>
      <c r="C23" s="4">
        <v>18.23</v>
      </c>
      <c r="D23" s="4">
        <v>17.579999999999998</v>
      </c>
      <c r="E23" s="4">
        <v>16.03</v>
      </c>
      <c r="F23" s="4">
        <v>14.95</v>
      </c>
      <c r="G23" s="4">
        <v>14.01</v>
      </c>
      <c r="H23" s="4">
        <v>13.32</v>
      </c>
      <c r="I23" s="4">
        <v>13.01</v>
      </c>
      <c r="J23" s="4">
        <v>12.65</v>
      </c>
      <c r="K23" s="4">
        <v>12.65</v>
      </c>
      <c r="L23" s="4">
        <v>12.66</v>
      </c>
    </row>
    <row r="24" spans="1:12" ht="18" customHeight="1" x14ac:dyDescent="0.2">
      <c r="A24" s="3">
        <v>46388</v>
      </c>
      <c r="B24" s="4">
        <v>18.899999999999999</v>
      </c>
      <c r="C24" s="4">
        <v>18.399999999999999</v>
      </c>
      <c r="D24" s="4">
        <v>17.8</v>
      </c>
      <c r="E24" s="4">
        <v>16.2</v>
      </c>
      <c r="F24" s="4">
        <v>15.14</v>
      </c>
      <c r="G24" s="4">
        <v>14.22</v>
      </c>
      <c r="H24" s="4">
        <v>13.52</v>
      </c>
      <c r="I24" s="4">
        <v>13.09</v>
      </c>
      <c r="J24" s="4">
        <v>12.81</v>
      </c>
      <c r="K24" s="4">
        <v>12.8</v>
      </c>
      <c r="L24" s="4">
        <v>12.8</v>
      </c>
    </row>
    <row r="25" spans="1:12" ht="18" customHeight="1" x14ac:dyDescent="0.2">
      <c r="A25" s="3">
        <v>46419</v>
      </c>
      <c r="B25" s="4">
        <v>18.87</v>
      </c>
      <c r="C25" s="4">
        <v>18.350000000000001</v>
      </c>
      <c r="D25" s="4">
        <v>17.72</v>
      </c>
      <c r="E25" s="4">
        <v>15.92</v>
      </c>
      <c r="F25" s="4">
        <v>15.1</v>
      </c>
      <c r="G25" s="4">
        <v>14.18</v>
      </c>
      <c r="H25" s="4">
        <v>13.71</v>
      </c>
      <c r="I25" s="4">
        <v>13.05</v>
      </c>
      <c r="J25" s="4">
        <v>12.83</v>
      </c>
      <c r="K25" s="4">
        <v>12.8</v>
      </c>
      <c r="L25" s="4">
        <v>12.78</v>
      </c>
    </row>
    <row r="26" spans="1:12" ht="18" customHeight="1" x14ac:dyDescent="0.2">
      <c r="A26" s="3">
        <v>46447</v>
      </c>
      <c r="B26" s="4">
        <v>18.850000000000001</v>
      </c>
      <c r="C26" s="4">
        <v>18.32</v>
      </c>
      <c r="D26" s="4">
        <v>17.7</v>
      </c>
      <c r="E26" s="4">
        <v>16.13</v>
      </c>
      <c r="F26" s="4">
        <v>15.07</v>
      </c>
      <c r="G26" s="4">
        <v>14.19</v>
      </c>
      <c r="H26" s="4">
        <v>13.45</v>
      </c>
      <c r="I26" s="4">
        <v>13.15</v>
      </c>
      <c r="J26" s="4">
        <v>12.76</v>
      </c>
      <c r="K26" s="4">
        <v>12.75</v>
      </c>
      <c r="L26" s="4">
        <v>12.75</v>
      </c>
    </row>
    <row r="27" spans="1:12" ht="18" customHeight="1" x14ac:dyDescent="0.2">
      <c r="A27" s="3">
        <v>46478</v>
      </c>
      <c r="B27" s="4">
        <v>19.010000000000002</v>
      </c>
      <c r="C27" s="4">
        <v>18.48</v>
      </c>
      <c r="D27" s="4">
        <v>17.84</v>
      </c>
      <c r="E27" s="4">
        <v>16.16</v>
      </c>
      <c r="F27" s="4">
        <v>15.06</v>
      </c>
      <c r="G27" s="4">
        <v>14.18</v>
      </c>
      <c r="H27" s="4">
        <v>13.44</v>
      </c>
      <c r="I27" s="4">
        <v>13.04</v>
      </c>
      <c r="J27" s="4">
        <v>12.85</v>
      </c>
      <c r="K27" s="4">
        <v>12.87</v>
      </c>
      <c r="L27" s="4">
        <v>12.9</v>
      </c>
    </row>
    <row r="28" spans="1:12" ht="18" customHeight="1" x14ac:dyDescent="0.2">
      <c r="A28" s="3">
        <v>46508</v>
      </c>
      <c r="B28" s="4">
        <v>19.04</v>
      </c>
      <c r="C28" s="4">
        <v>18.5</v>
      </c>
      <c r="D28" s="4">
        <v>17.87</v>
      </c>
      <c r="E28" s="4">
        <v>16.190000000000001</v>
      </c>
      <c r="F28" s="4">
        <v>15.1</v>
      </c>
      <c r="G28" s="4">
        <v>14.16</v>
      </c>
      <c r="H28" s="4">
        <v>13.47</v>
      </c>
      <c r="I28" s="4">
        <v>13.06</v>
      </c>
      <c r="J28" s="4">
        <v>12.86</v>
      </c>
      <c r="K28" s="4">
        <v>12.87</v>
      </c>
      <c r="L28" s="4">
        <v>12.9</v>
      </c>
    </row>
    <row r="29" spans="1:12" ht="18" customHeight="1" x14ac:dyDescent="0.2">
      <c r="A29" s="3">
        <v>46539</v>
      </c>
      <c r="B29" s="4">
        <v>19.02</v>
      </c>
      <c r="C29" s="4">
        <v>18.489999999999998</v>
      </c>
      <c r="D29" s="4">
        <v>17.86</v>
      </c>
      <c r="E29" s="4">
        <v>16.2</v>
      </c>
      <c r="F29" s="4">
        <v>15.11</v>
      </c>
      <c r="G29" s="4">
        <v>14.18</v>
      </c>
      <c r="H29" s="4">
        <v>13.5</v>
      </c>
      <c r="I29" s="4">
        <v>13.1</v>
      </c>
      <c r="J29" s="4">
        <v>12.9</v>
      </c>
      <c r="K29" s="4">
        <v>12.92</v>
      </c>
      <c r="L29" s="4">
        <v>12.94</v>
      </c>
    </row>
    <row r="30" spans="1:12" ht="18" customHeight="1" x14ac:dyDescent="0.2">
      <c r="A30" s="3">
        <v>46569</v>
      </c>
      <c r="B30" s="4">
        <v>19.010000000000002</v>
      </c>
      <c r="C30" s="4">
        <v>18.489999999999998</v>
      </c>
      <c r="D30" s="4">
        <v>17.87</v>
      </c>
      <c r="E30" s="4">
        <v>16.22</v>
      </c>
      <c r="F30" s="4">
        <v>15.14</v>
      </c>
      <c r="G30" s="4">
        <v>14.21</v>
      </c>
      <c r="H30" s="4">
        <v>13.51</v>
      </c>
      <c r="I30" s="4">
        <v>13.09</v>
      </c>
      <c r="J30" s="4">
        <v>12.86</v>
      </c>
      <c r="K30" s="4">
        <v>12.86</v>
      </c>
      <c r="L30" s="4">
        <v>12.87</v>
      </c>
    </row>
    <row r="31" spans="1:12" ht="18" customHeight="1" x14ac:dyDescent="0.2">
      <c r="A31" s="3">
        <v>46600</v>
      </c>
      <c r="B31" s="4">
        <v>19</v>
      </c>
      <c r="C31" s="4">
        <v>18.43</v>
      </c>
      <c r="D31" s="4">
        <v>17.75</v>
      </c>
      <c r="E31" s="4">
        <v>16</v>
      </c>
      <c r="F31" s="4">
        <v>14.88</v>
      </c>
      <c r="G31" s="4">
        <v>14.02</v>
      </c>
      <c r="H31" s="4">
        <v>13.33</v>
      </c>
      <c r="I31" s="4">
        <v>13.05</v>
      </c>
      <c r="J31" s="4">
        <v>12.98</v>
      </c>
      <c r="K31" s="4">
        <v>13.05</v>
      </c>
      <c r="L31" s="4">
        <v>13.15</v>
      </c>
    </row>
    <row r="32" spans="1:12" ht="18" customHeight="1" x14ac:dyDescent="0.2">
      <c r="A32" s="3">
        <v>46661</v>
      </c>
      <c r="B32" s="4">
        <v>19.420000000000002</v>
      </c>
      <c r="C32" s="4">
        <v>18.79</v>
      </c>
      <c r="D32" s="4">
        <v>18.059999999999999</v>
      </c>
      <c r="E32" s="4">
        <v>16.25</v>
      </c>
      <c r="F32" s="4">
        <v>15</v>
      </c>
      <c r="G32" s="4">
        <v>14.21</v>
      </c>
      <c r="H32" s="4">
        <v>13.75</v>
      </c>
      <c r="I32" s="4">
        <v>13.33</v>
      </c>
      <c r="J32" s="4">
        <v>13.31</v>
      </c>
      <c r="K32" s="4">
        <v>13.4</v>
      </c>
      <c r="L32" s="4">
        <v>13.55</v>
      </c>
    </row>
    <row r="33" spans="1:12" ht="18" customHeight="1" x14ac:dyDescent="0.2">
      <c r="A33" s="3">
        <v>46753</v>
      </c>
      <c r="B33" s="4">
        <v>19.84</v>
      </c>
      <c r="C33" s="4">
        <v>19.309999999999999</v>
      </c>
      <c r="D33" s="4">
        <v>18.68</v>
      </c>
      <c r="E33" s="4">
        <v>16.989999999999998</v>
      </c>
      <c r="F33" s="4">
        <v>15.88</v>
      </c>
      <c r="G33" s="4">
        <v>14.91</v>
      </c>
      <c r="H33" s="4">
        <v>14.19</v>
      </c>
      <c r="I33" s="4">
        <v>13.74</v>
      </c>
      <c r="J33" s="4">
        <v>13.48</v>
      </c>
      <c r="K33" s="4">
        <v>13.48</v>
      </c>
      <c r="L33" s="4">
        <v>13.48</v>
      </c>
    </row>
    <row r="34" spans="1:12" ht="18" customHeight="1" x14ac:dyDescent="0.2">
      <c r="A34" s="3">
        <v>46844</v>
      </c>
      <c r="B34" s="4">
        <v>20.190000000000001</v>
      </c>
      <c r="C34" s="4">
        <v>19.579999999999998</v>
      </c>
      <c r="D34" s="4">
        <v>18.87</v>
      </c>
      <c r="E34" s="4">
        <v>17.010000000000002</v>
      </c>
      <c r="F34" s="4">
        <v>15.84</v>
      </c>
      <c r="G34" s="4">
        <v>14.87</v>
      </c>
      <c r="H34" s="4">
        <v>14.23</v>
      </c>
      <c r="I34" s="4">
        <v>13.92</v>
      </c>
      <c r="J34" s="4">
        <v>13.92</v>
      </c>
      <c r="K34" s="4">
        <v>13.99</v>
      </c>
      <c r="L34" s="4">
        <v>14.12</v>
      </c>
    </row>
    <row r="35" spans="1:12" ht="18" customHeight="1" x14ac:dyDescent="0.2">
      <c r="A35" s="2">
        <v>46935</v>
      </c>
      <c r="B35" s="1">
        <v>20.57</v>
      </c>
      <c r="C35" s="1">
        <v>19.989999999999998</v>
      </c>
      <c r="D35" s="1">
        <v>19.3</v>
      </c>
      <c r="E35" s="1">
        <v>17.489999999999998</v>
      </c>
      <c r="F35" s="1">
        <v>16.309999999999999</v>
      </c>
      <c r="G35" s="1">
        <v>15.31</v>
      </c>
      <c r="H35" s="1">
        <v>14.59</v>
      </c>
      <c r="I35" s="1">
        <v>14.18</v>
      </c>
      <c r="J35" s="1">
        <v>14.01</v>
      </c>
      <c r="K35" s="1">
        <v>14.04</v>
      </c>
      <c r="L35" s="1">
        <v>14.09</v>
      </c>
    </row>
    <row r="36" spans="1:12" s="1" customFormat="1" ht="18" customHeight="1" x14ac:dyDescent="0.2">
      <c r="A36" s="2">
        <v>47027</v>
      </c>
      <c r="B36" s="1">
        <v>21.41</v>
      </c>
      <c r="C36" s="1">
        <v>20.7</v>
      </c>
      <c r="D36" s="1">
        <v>19.88</v>
      </c>
      <c r="E36" s="1">
        <v>17.760000000000002</v>
      </c>
      <c r="F36" s="1">
        <v>16.45</v>
      </c>
      <c r="G36" s="1">
        <v>15.41</v>
      </c>
      <c r="H36" s="1">
        <v>14.78</v>
      </c>
      <c r="I36" s="1">
        <v>14.55</v>
      </c>
      <c r="J36" s="1">
        <v>14.74</v>
      </c>
      <c r="K36" s="1">
        <v>14.92</v>
      </c>
      <c r="L36" s="1">
        <v>15.12</v>
      </c>
    </row>
    <row r="37" spans="1:12" s="1" customFormat="1" ht="18" customHeight="1" x14ac:dyDescent="0.2">
      <c r="A37" s="2">
        <v>47119</v>
      </c>
      <c r="B37" s="1">
        <v>20.87</v>
      </c>
      <c r="C37" s="1">
        <v>20.29</v>
      </c>
      <c r="D37" s="1">
        <v>19.59</v>
      </c>
      <c r="E37" s="1">
        <v>17.760000000000002</v>
      </c>
      <c r="F37" s="1">
        <v>16.57</v>
      </c>
      <c r="G37" s="1">
        <v>15.55</v>
      </c>
      <c r="H37" s="1">
        <v>14.81</v>
      </c>
      <c r="I37" s="1">
        <v>14.38</v>
      </c>
      <c r="J37" s="1">
        <v>14.19</v>
      </c>
      <c r="K37" s="1">
        <v>14.21</v>
      </c>
      <c r="L37" s="1">
        <v>14.26</v>
      </c>
    </row>
    <row r="38" spans="1:12" s="1" customFormat="1" ht="18" customHeight="1" x14ac:dyDescent="0.2">
      <c r="A38" s="2">
        <v>47209</v>
      </c>
      <c r="B38" s="1">
        <v>21.65</v>
      </c>
      <c r="C38" s="1">
        <v>20.95</v>
      </c>
      <c r="D38" s="1">
        <v>20.14</v>
      </c>
      <c r="E38" s="1">
        <v>18.059999999999999</v>
      </c>
      <c r="F38" s="1">
        <v>16.77</v>
      </c>
      <c r="G38" s="1">
        <v>15.76</v>
      </c>
      <c r="H38" s="1">
        <v>15.16</v>
      </c>
      <c r="I38" s="1">
        <v>14.96</v>
      </c>
      <c r="J38" s="1">
        <v>15.19</v>
      </c>
      <c r="K38" s="1">
        <v>15.37</v>
      </c>
      <c r="L38" s="1">
        <v>15.58</v>
      </c>
    </row>
    <row r="39" spans="1:12" s="1" customFormat="1" ht="18" customHeight="1" x14ac:dyDescent="0.2">
      <c r="A39" s="2">
        <v>47300</v>
      </c>
      <c r="B39" s="1">
        <v>21.93</v>
      </c>
      <c r="C39" s="1">
        <v>21.23</v>
      </c>
      <c r="D39" s="1">
        <v>20.37</v>
      </c>
      <c r="E39" s="1">
        <v>17.84</v>
      </c>
      <c r="F39" s="1">
        <v>16.79</v>
      </c>
      <c r="G39" s="1">
        <v>15.84</v>
      </c>
      <c r="H39" s="1">
        <v>15.38</v>
      </c>
      <c r="I39" s="1">
        <v>14.84</v>
      </c>
      <c r="J39" s="1">
        <v>14.94</v>
      </c>
      <c r="K39" s="1">
        <v>15.1</v>
      </c>
      <c r="L39" s="1">
        <v>15.3</v>
      </c>
    </row>
    <row r="40" spans="1:12" s="1" customFormat="1" ht="18" customHeight="1" x14ac:dyDescent="0.2">
      <c r="A40" s="2">
        <v>10959</v>
      </c>
      <c r="B40" s="1">
        <v>21.18</v>
      </c>
      <c r="C40" s="1">
        <v>20.59</v>
      </c>
      <c r="D40" s="1">
        <v>19.88</v>
      </c>
      <c r="E40" s="1">
        <v>18.02</v>
      </c>
      <c r="F40" s="1">
        <v>16.8</v>
      </c>
      <c r="G40" s="1">
        <v>15.76</v>
      </c>
      <c r="H40" s="1">
        <v>14.99</v>
      </c>
      <c r="I40" s="1">
        <v>14.67</v>
      </c>
      <c r="J40" s="1">
        <v>14.34</v>
      </c>
      <c r="K40" s="1">
        <v>14.35</v>
      </c>
      <c r="L40" s="1">
        <v>14.36</v>
      </c>
    </row>
    <row r="41" spans="1:12" s="1" customFormat="1" ht="18" customHeight="1" x14ac:dyDescent="0.2">
      <c r="A41" s="2">
        <v>11324</v>
      </c>
      <c r="B41" s="1">
        <v>21.37</v>
      </c>
      <c r="C41" s="1">
        <v>20.78</v>
      </c>
      <c r="D41" s="1">
        <v>20.07</v>
      </c>
      <c r="E41" s="1">
        <v>18.21</v>
      </c>
      <c r="F41" s="1">
        <v>16.989999999999998</v>
      </c>
      <c r="G41" s="1">
        <v>15.94</v>
      </c>
      <c r="H41" s="1">
        <v>15.17</v>
      </c>
      <c r="I41" s="1">
        <v>14.71</v>
      </c>
      <c r="J41" s="1">
        <v>14.48</v>
      </c>
      <c r="K41" s="1">
        <v>14.5</v>
      </c>
      <c r="L41" s="1">
        <v>14.53</v>
      </c>
    </row>
    <row r="42" spans="1:12" ht="18" customHeight="1" x14ac:dyDescent="0.2">
      <c r="A42" s="2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" customHeight="1" x14ac:dyDescent="0.2">
      <c r="A43" s="2" t="s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" customHeight="1" x14ac:dyDescent="0.2">
      <c r="A44" s="2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dde profit</vt:lpstr>
      <vt:lpstr>base_b3</vt:lpstr>
      <vt:lpstr>base_b3!superficie_de_volatilidade_de_dolar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Luvizuto</dc:creator>
  <cp:lastModifiedBy>Lenovo</cp:lastModifiedBy>
  <dcterms:created xsi:type="dcterms:W3CDTF">2022-04-11T17:53:54Z</dcterms:created>
  <dcterms:modified xsi:type="dcterms:W3CDTF">2026-07-09T19:29:06Z</dcterms:modified>
</cp:coreProperties>
</file>